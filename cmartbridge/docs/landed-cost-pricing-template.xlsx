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ic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<sst xmlns="http://schemas.openxmlformats.org/spreadsheetml/2006/main" count="87" uniqueCount="67">
  <si>
    <t xml:space="preserve">CmartBridge Rwanda — Pricing assumptions</t>
  </si>
  <si>
    <t xml:space="preserve">KRW to RWF rate</t>
  </si>
  <si>
    <t xml:space="preserve">Refresh every Monday — BNR reference rate (bnr.rw). USER ESTIMATE.</t>
  </si>
  <si>
    <t xml:space="preserve">Commission on product price</t>
  </si>
  <si>
    <t xml:space="preserve">Locked business decision: 30% on product price only.</t>
  </si>
  <si>
    <t xml:space="preserve">FX &amp; loss buffer</t>
  </si>
  <si>
    <t xml:space="preserve">Covers KRW/RWF swings + lost/damaged reships. On product+shipping.</t>
  </si>
  <si>
    <t xml:space="preserve">VAT rate (Rwanda)</t>
  </si>
  <si>
    <t xml:space="preserve">Standard VAT — verify treatment with RRA.</t>
  </si>
  <si>
    <t xml:space="preserve">Shipping RWF per gram</t>
  </si>
  <si>
    <t xml:space="preserve">Consolidated Korea Post EMS allocation — VERIFY current EMS rates to Rwanda, then update.</t>
  </si>
  <si>
    <t xml:space="preserve">Minimum shipping per item (RWF)</t>
  </si>
  <si>
    <t xml:space="preserve">Floor for very light items (photocards, stickers).</t>
  </si>
  <si>
    <t xml:space="preserve">Round door price up to nearest (RWF)</t>
  </si>
  <si>
    <t xml:space="preserve">Customer-facing prices only.</t>
  </si>
  <si>
    <t xml:space="preserve">Import duty by category (EAC Common External Tariff)</t>
  </si>
  <si>
    <t xml:space="preserve">PLACEHOLDERS — verify each rate with RRA before quoting customers.</t>
  </si>
  <si>
    <t xml:space="preserve">K-Beauty &amp; Skincare</t>
  </si>
  <si>
    <t xml:space="preserve">Phone Accessories</t>
  </si>
  <si>
    <t xml:space="preserve">Fashion Accessories</t>
  </si>
  <si>
    <t xml:space="preserve">K-pop Merch</t>
  </si>
  <si>
    <t xml:space="preserve">Stationery</t>
  </si>
  <si>
    <t xml:space="preserve">Legend</t>
  </si>
  <si>
    <t xml:space="preserve">Yellow cells with blue text = inputs you edit. Everything else is calculated.</t>
  </si>
  <si>
    <t xml:space="preserve">Door price = product + 30% commission + shipping + duty + VAT + buffer, rounded UP.</t>
  </si>
  <si>
    <t xml:space="preserve">Shipping, duty and VAT are passed through AT COST — quoted as one all-in door price.</t>
  </si>
  <si>
    <t xml:space="preserve">Item</t>
  </si>
  <si>
    <t xml:space="preserve">Category</t>
  </si>
  <si>
    <t xml:space="preserve">Korea price (KRW)</t>
  </si>
  <si>
    <t xml:space="preserve">Weight (g)</t>
  </si>
  <si>
    <t xml:space="preserve">Product (RWF)</t>
  </si>
  <si>
    <t xml:space="preserve">Shipping (RWF)</t>
  </si>
  <si>
    <t xml:space="preserve">Duty rate</t>
  </si>
  <si>
    <t xml:space="preserve">Duty (RWF)</t>
  </si>
  <si>
    <t xml:space="preserve">VAT (RWF)</t>
  </si>
  <si>
    <t xml:space="preserve">Commission (RWF)</t>
  </si>
  <si>
    <t xml:space="preserve">Buffer (RWF)</t>
  </si>
  <si>
    <t xml:space="preserve">DOOR PRICE (RWF)</t>
  </si>
  <si>
    <t xml:space="preserve">Kigali market price (RWF)</t>
  </si>
  <si>
    <t xml:space="preserve">AliExpress landed (RWF)</t>
  </si>
  <si>
    <t xml:space="preserve">Price check</t>
  </si>
  <si>
    <t xml:space="preserve">COSRX Advanced Snail 96 Mucin Essence 100ml</t>
  </si>
  <si>
    <t xml:space="preserve">Beauty of Joseon Relief Sun SPF50+ 50ml</t>
  </si>
  <si>
    <t xml:space="preserve">Anua Heartleaf 77% Soothing Toner 250ml</t>
  </si>
  <si>
    <t xml:space="preserve">Mediheal Sheet Masks (10-pack)</t>
  </si>
  <si>
    <t xml:space="preserve">Laneige Lip Sleeping Mask 20g</t>
  </si>
  <si>
    <t xml:space="preserve">Etude Drawing Eye Brow Pencil</t>
  </si>
  <si>
    <t xml:space="preserve">Clear shockproof phone case (iPhone/Samsung)</t>
  </si>
  <si>
    <t xml:space="preserve">Tempered glass screen protector (2-pack)</t>
  </si>
  <si>
    <t xml:space="preserve">Fast-charge USB-C cable 1m (Samsung-grade)</t>
  </si>
  <si>
    <t xml:space="preserve">25W USB-C wall charger (genuine, no battery)</t>
  </si>
  <si>
    <t xml:space="preserve">Korean minimalist earrings set (3 pairs)</t>
  </si>
  <si>
    <t xml:space="preserve">Hair claw clips, Seoul style (set of 4)</t>
  </si>
  <si>
    <t xml:space="preserve">Korean ankle socks (5-pack)</t>
  </si>
  <si>
    <t xml:space="preserve">Seoul street-fashion bucket hat</t>
  </si>
  <si>
    <t xml:space="preserve">Official K-pop photocard (single, sleeved)</t>
  </si>
  <si>
    <t xml:space="preserve">Official K-pop album (photocards included)</t>
  </si>
  <si>
    <t xml:space="preserve">Photocard binder + 50 sleeves</t>
  </si>
  <si>
    <t xml:space="preserve">Korean gel pen set (10 colours)</t>
  </si>
  <si>
    <t xml:space="preserve">Deco sticker pack (20 sheets)</t>
  </si>
  <si>
    <t xml:space="preserve">Hardcover journal, Korean design</t>
  </si>
  <si>
    <t xml:space="preserve">TOTAL (one of each)</t>
  </si>
  <si>
    <t xml:space="preserve">How to use: add a row per item (blue cells: item, category, KRW price, weight). Category must match the Assumptions duty table exactly.</t>
  </si>
  <si>
    <t xml:space="preserve">Columns E–L calculate automatically from the Assumptions sheet. Quote the customer the DOOR PRICE only; breakdown available on request.</t>
  </si>
  <si>
    <t xml:space="preserve">Pre-launch validation (90-day plan, weeks 3–4): fill yellow columns M–N per item; 'Price check' flags items &gt;10% above Kigali market.</t>
  </si>
  <si>
    <t xml:space="preserve">Row 2 shows example validation values (M2, N2) — replace with real Kigali/AliExpress research.</t>
  </si>
  <si>
    <t xml:space="preserve">Korea prices are retail estimates from Coupang/Olive Young/Dongdaemun (Aug 2026) — re-check before quoting.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</si>
</sst>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C00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2137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13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1.05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0.3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0.05</v>
      </c>
      <c r="C5" s="4" t="s">
        <v>6</v>
      </c>
    </row>
    <row r="6" customFormat="false" ht="15" hidden="false" customHeight="false" outlineLevel="0" collapsed="false">
      <c r="A6" s="2" t="s">
        <v>7</v>
      </c>
      <c r="B6" s="5" t="n">
        <v>0.18</v>
      </c>
      <c r="C6" s="4" t="s">
        <v>8</v>
      </c>
    </row>
    <row r="7" customFormat="false" ht="15" hidden="false" customHeight="false" outlineLevel="0" collapsed="false">
      <c r="A7" s="2" t="s">
        <v>9</v>
      </c>
      <c r="B7" s="3" t="n">
        <v>11</v>
      </c>
      <c r="C7" s="4" t="s">
        <v>10</v>
      </c>
    </row>
    <row r="8" customFormat="false" ht="15" hidden="false" customHeight="false" outlineLevel="0" collapsed="false">
      <c r="A8" s="2" t="s">
        <v>11</v>
      </c>
      <c r="B8" s="3" t="n">
        <v>600</v>
      </c>
      <c r="C8" s="4" t="s">
        <v>12</v>
      </c>
    </row>
    <row r="9" customFormat="false" ht="15" hidden="false" customHeight="false" outlineLevel="0" collapsed="false">
      <c r="A9" s="2" t="s">
        <v>13</v>
      </c>
      <c r="B9" s="3" t="n">
        <v>500</v>
      </c>
      <c r="C9" s="4" t="s">
        <v>14</v>
      </c>
    </row>
    <row r="11" customFormat="false" ht="15" hidden="false" customHeight="false" outlineLevel="0" collapsed="false">
      <c r="A11" s="2" t="s">
        <v>15</v>
      </c>
      <c r="C11" s="6" t="s">
        <v>16</v>
      </c>
    </row>
    <row r="12" customFormat="false" ht="15" hidden="false" customHeight="false" outlineLevel="0" collapsed="false">
      <c r="A12" s="0" t="s">
        <v>17</v>
      </c>
      <c r="B12" s="5" t="n">
        <v>0.25</v>
      </c>
    </row>
    <row r="13" customFormat="false" ht="15" hidden="false" customHeight="false" outlineLevel="0" collapsed="false">
      <c r="A13" s="0" t="s">
        <v>18</v>
      </c>
      <c r="B13" s="5" t="n">
        <v>0.1</v>
      </c>
    </row>
    <row r="14" customFormat="false" ht="15" hidden="false" customHeight="false" outlineLevel="0" collapsed="false">
      <c r="A14" s="0" t="s">
        <v>19</v>
      </c>
      <c r="B14" s="5" t="n">
        <v>0.25</v>
      </c>
    </row>
    <row r="15" customFormat="false" ht="15" hidden="false" customHeight="false" outlineLevel="0" collapsed="false">
      <c r="A15" s="0" t="s">
        <v>20</v>
      </c>
      <c r="B15" s="5" t="n">
        <v>0.25</v>
      </c>
    </row>
    <row r="16" customFormat="false" ht="15" hidden="false" customHeight="false" outlineLevel="0" collapsed="false">
      <c r="A16" s="0" t="s">
        <v>21</v>
      </c>
      <c r="B16" s="5" t="n">
        <v>0.25</v>
      </c>
    </row>
    <row r="19" customFormat="false" ht="15" hidden="false" customHeight="false" outlineLevel="0" collapsed="false">
      <c r="A19" s="2" t="s">
        <v>22</v>
      </c>
    </row>
    <row r="20" customFormat="false" ht="15" hidden="false" customHeight="false" outlineLevel="0" collapsed="false">
      <c r="A20" s="7" t="s">
        <v>23</v>
      </c>
    </row>
    <row r="21" customFormat="false" ht="15" hidden="false" customHeight="false" outlineLevel="0" collapsed="false">
      <c r="A21" s="7" t="s">
        <v>24</v>
      </c>
    </row>
    <row r="22" customFormat="false" ht="15" hidden="false" customHeight="false" outlineLevel="0" collapsed="false">
      <c r="A22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21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</row>
    <row r="2" customFormat="false" ht="15" hidden="false" customHeight="false" outlineLevel="0" collapsed="false">
      <c r="A2" s="9" t="s">
        <v>41</v>
      </c>
      <c r="B2" s="9" t="s">
        <v>17</v>
      </c>
      <c r="C2" s="10" t="n">
        <v>12900</v>
      </c>
      <c r="D2" s="10" t="n">
        <v>180</v>
      </c>
      <c r="E2" s="11" t="n">
        <f aca="false">C2*Assumptions!$B$3</f>
        <v>13545</v>
      </c>
      <c r="F2" s="11" t="n">
        <f aca="false">MAX(D2*Assumptions!$B$7,Assumptions!$B$8)</f>
        <v>1980</v>
      </c>
      <c r="G2" s="12" t="n">
        <f aca="false">INDEX(Assumptions!$B$12:$B$16,MATCH(B2,Assumptions!$A$12:$A$16,0))</f>
        <v>0.25</v>
      </c>
      <c r="H2" s="13" t="n">
        <f aca="false">(E2+F2)*G2</f>
        <v>3881.25</v>
      </c>
      <c r="I2" s="11" t="n">
        <f aca="false">(E2+F2+H2)*Assumptions!$B$6</f>
        <v>3493.125</v>
      </c>
      <c r="J2" s="11" t="n">
        <f aca="false">E2*Assumptions!$B$4</f>
        <v>4063.5</v>
      </c>
      <c r="K2" s="11" t="n">
        <f aca="false">(E2+F2)*Assumptions!$B$5</f>
        <v>776.25</v>
      </c>
      <c r="L2" s="14" t="n">
        <f aca="false">CEILING(E2+F2+H2+I2+J2+K2,Assumptions!$B$9)</f>
        <v>28000</v>
      </c>
      <c r="M2" s="15" t="n">
        <v>32000</v>
      </c>
      <c r="N2" s="15" t="n">
        <v>30000</v>
      </c>
      <c r="O2" s="13" t="str">
        <f aca="false">IF(M2="","fill market price",IF(L2&lt;=M2*1.1,"OK","TOO HIGH"))</f>
        <v>OK</v>
      </c>
    </row>
    <row r="3" customFormat="false" ht="15" hidden="false" customHeight="false" outlineLevel="0" collapsed="false">
      <c r="A3" s="9" t="s">
        <v>42</v>
      </c>
      <c r="B3" s="9" t="s">
        <v>17</v>
      </c>
      <c r="C3" s="10" t="n">
        <v>11000</v>
      </c>
      <c r="D3" s="10" t="n">
        <v>90</v>
      </c>
      <c r="E3" s="11" t="n">
        <f aca="false">C3*Assumptions!$B$3</f>
        <v>11550</v>
      </c>
      <c r="F3" s="11" t="n">
        <f aca="false">MAX(D3*Assumptions!$B$7,Assumptions!$B$8)</f>
        <v>990</v>
      </c>
      <c r="G3" s="12" t="n">
        <f aca="false">INDEX(Assumptions!$B$12:$B$16,MATCH(B3,Assumptions!$A$12:$A$16,0))</f>
        <v>0.25</v>
      </c>
      <c r="H3" s="13" t="n">
        <f aca="false">(E3+F3)*G3</f>
        <v>3135</v>
      </c>
      <c r="I3" s="11" t="n">
        <f aca="false">(E3+F3+H3)*Assumptions!$B$6</f>
        <v>2821.5</v>
      </c>
      <c r="J3" s="11" t="n">
        <f aca="false">E3*Assumptions!$B$4</f>
        <v>3465</v>
      </c>
      <c r="K3" s="11" t="n">
        <f aca="false">(E3+F3)*Assumptions!$B$5</f>
        <v>627</v>
      </c>
      <c r="L3" s="14" t="n">
        <f aca="false">CEILING(E3+F3+H3+I3+J3+K3,Assumptions!$B$9)</f>
        <v>23000</v>
      </c>
      <c r="M3" s="15"/>
      <c r="N3" s="15"/>
      <c r="O3" s="13" t="str">
        <f aca="false">IF(M3="","fill market price",IF(L3&lt;=M3*1.1,"OK","TOO HIGH"))</f>
        <v>fill market price</v>
      </c>
    </row>
    <row r="4" customFormat="false" ht="15" hidden="false" customHeight="false" outlineLevel="0" collapsed="false">
      <c r="A4" s="9" t="s">
        <v>43</v>
      </c>
      <c r="B4" s="9" t="s">
        <v>17</v>
      </c>
      <c r="C4" s="10" t="n">
        <v>18000</v>
      </c>
      <c r="D4" s="10" t="n">
        <v>330</v>
      </c>
      <c r="E4" s="11" t="n">
        <f aca="false">C4*Assumptions!$B$3</f>
        <v>18900</v>
      </c>
      <c r="F4" s="11" t="n">
        <f aca="false">MAX(D4*Assumptions!$B$7,Assumptions!$B$8)</f>
        <v>3630</v>
      </c>
      <c r="G4" s="12" t="n">
        <f aca="false">INDEX(Assumptions!$B$12:$B$16,MATCH(B4,Assumptions!$A$12:$A$16,0))</f>
        <v>0.25</v>
      </c>
      <c r="H4" s="13" t="n">
        <f aca="false">(E4+F4)*G4</f>
        <v>5632.5</v>
      </c>
      <c r="I4" s="11" t="n">
        <f aca="false">(E4+F4+H4)*Assumptions!$B$6</f>
        <v>5069.25</v>
      </c>
      <c r="J4" s="11" t="n">
        <f aca="false">E4*Assumptions!$B$4</f>
        <v>5670</v>
      </c>
      <c r="K4" s="11" t="n">
        <f aca="false">(E4+F4)*Assumptions!$B$5</f>
        <v>1126.5</v>
      </c>
      <c r="L4" s="14" t="n">
        <f aca="false">CEILING(E4+F4+H4+I4+J4+K4,Assumptions!$B$9)</f>
        <v>40500</v>
      </c>
      <c r="M4" s="15"/>
      <c r="N4" s="15"/>
      <c r="O4" s="13" t="str">
        <f aca="false">IF(M4="","fill market price",IF(L4&lt;=M4*1.1,"OK","TOO HIGH"))</f>
        <v>fill market price</v>
      </c>
    </row>
    <row r="5" customFormat="false" ht="15" hidden="false" customHeight="false" outlineLevel="0" collapsed="false">
      <c r="A5" s="9" t="s">
        <v>44</v>
      </c>
      <c r="B5" s="9" t="s">
        <v>17</v>
      </c>
      <c r="C5" s="10" t="n">
        <v>8900</v>
      </c>
      <c r="D5" s="10" t="n">
        <v>350</v>
      </c>
      <c r="E5" s="11" t="n">
        <f aca="false">C5*Assumptions!$B$3</f>
        <v>9345</v>
      </c>
      <c r="F5" s="11" t="n">
        <f aca="false">MAX(D5*Assumptions!$B$7,Assumptions!$B$8)</f>
        <v>3850</v>
      </c>
      <c r="G5" s="12" t="n">
        <f aca="false">INDEX(Assumptions!$B$12:$B$16,MATCH(B5,Assumptions!$A$12:$A$16,0))</f>
        <v>0.25</v>
      </c>
      <c r="H5" s="13" t="n">
        <f aca="false">(E5+F5)*G5</f>
        <v>3298.75</v>
      </c>
      <c r="I5" s="11" t="n">
        <f aca="false">(E5+F5+H5)*Assumptions!$B$6</f>
        <v>2968.875</v>
      </c>
      <c r="J5" s="11" t="n">
        <f aca="false">E5*Assumptions!$B$4</f>
        <v>2803.5</v>
      </c>
      <c r="K5" s="11" t="n">
        <f aca="false">(E5+F5)*Assumptions!$B$5</f>
        <v>659.75</v>
      </c>
      <c r="L5" s="14" t="n">
        <f aca="false">CEILING(E5+F5+H5+I5+J5+K5,Assumptions!$B$9)</f>
        <v>23000</v>
      </c>
      <c r="M5" s="15"/>
      <c r="N5" s="15"/>
      <c r="O5" s="13" t="str">
        <f aca="false">IF(M5="","fill market price",IF(L5&lt;=M5*1.1,"OK","TOO HIGH"))</f>
        <v>fill market price</v>
      </c>
    </row>
    <row r="6" customFormat="false" ht="15" hidden="false" customHeight="false" outlineLevel="0" collapsed="false">
      <c r="A6" s="9" t="s">
        <v>45</v>
      </c>
      <c r="B6" s="9" t="s">
        <v>17</v>
      </c>
      <c r="C6" s="10" t="n">
        <v>17000</v>
      </c>
      <c r="D6" s="10" t="n">
        <v>60</v>
      </c>
      <c r="E6" s="11" t="n">
        <f aca="false">C6*Assumptions!$B$3</f>
        <v>17850</v>
      </c>
      <c r="F6" s="11" t="n">
        <f aca="false">MAX(D6*Assumptions!$B$7,Assumptions!$B$8)</f>
        <v>660</v>
      </c>
      <c r="G6" s="12" t="n">
        <f aca="false">INDEX(Assumptions!$B$12:$B$16,MATCH(B6,Assumptions!$A$12:$A$16,0))</f>
        <v>0.25</v>
      </c>
      <c r="H6" s="13" t="n">
        <f aca="false">(E6+F6)*G6</f>
        <v>4627.5</v>
      </c>
      <c r="I6" s="11" t="n">
        <f aca="false">(E6+F6+H6)*Assumptions!$B$6</f>
        <v>4164.75</v>
      </c>
      <c r="J6" s="11" t="n">
        <f aca="false">E6*Assumptions!$B$4</f>
        <v>5355</v>
      </c>
      <c r="K6" s="11" t="n">
        <f aca="false">(E6+F6)*Assumptions!$B$5</f>
        <v>925.5</v>
      </c>
      <c r="L6" s="14" t="n">
        <f aca="false">CEILING(E6+F6+H6+I6+J6+K6,Assumptions!$B$9)</f>
        <v>34000</v>
      </c>
      <c r="M6" s="15"/>
      <c r="N6" s="15"/>
      <c r="O6" s="13" t="str">
        <f aca="false">IF(M6="","fill market price",IF(L6&lt;=M6*1.1,"OK","TOO HIGH"))</f>
        <v>fill market price</v>
      </c>
    </row>
    <row r="7" customFormat="false" ht="15" hidden="false" customHeight="false" outlineLevel="0" collapsed="false">
      <c r="A7" s="9" t="s">
        <v>46</v>
      </c>
      <c r="B7" s="9" t="s">
        <v>17</v>
      </c>
      <c r="C7" s="10" t="n">
        <v>4000</v>
      </c>
      <c r="D7" s="10" t="n">
        <v>20</v>
      </c>
      <c r="E7" s="11" t="n">
        <f aca="false">C7*Assumptions!$B$3</f>
        <v>4200</v>
      </c>
      <c r="F7" s="11" t="n">
        <f aca="false">MAX(D7*Assumptions!$B$7,Assumptions!$B$8)</f>
        <v>600</v>
      </c>
      <c r="G7" s="12" t="n">
        <f aca="false">INDEX(Assumptions!$B$12:$B$16,MATCH(B7,Assumptions!$A$12:$A$16,0))</f>
        <v>0.25</v>
      </c>
      <c r="H7" s="13" t="n">
        <f aca="false">(E7+F7)*G7</f>
        <v>1200</v>
      </c>
      <c r="I7" s="11" t="n">
        <f aca="false">(E7+F7+H7)*Assumptions!$B$6</f>
        <v>1080</v>
      </c>
      <c r="J7" s="11" t="n">
        <f aca="false">E7*Assumptions!$B$4</f>
        <v>1260</v>
      </c>
      <c r="K7" s="11" t="n">
        <f aca="false">(E7+F7)*Assumptions!$B$5</f>
        <v>240</v>
      </c>
      <c r="L7" s="14" t="n">
        <f aca="false">CEILING(E7+F7+H7+I7+J7+K7,Assumptions!$B$9)</f>
        <v>9000</v>
      </c>
      <c r="M7" s="15"/>
      <c r="N7" s="15"/>
      <c r="O7" s="13" t="str">
        <f aca="false">IF(M7="","fill market price",IF(L7&lt;=M7*1.1,"OK","TOO HIGH"))</f>
        <v>fill market price</v>
      </c>
    </row>
    <row r="8" customFormat="false" ht="15" hidden="false" customHeight="false" outlineLevel="0" collapsed="false">
      <c r="A8" s="9" t="s">
        <v>47</v>
      </c>
      <c r="B8" s="9" t="s">
        <v>18</v>
      </c>
      <c r="C8" s="10" t="n">
        <v>6000</v>
      </c>
      <c r="D8" s="10" t="n">
        <v>60</v>
      </c>
      <c r="E8" s="11" t="n">
        <f aca="false">C8*Assumptions!$B$3</f>
        <v>6300</v>
      </c>
      <c r="F8" s="11" t="n">
        <f aca="false">MAX(D8*Assumptions!$B$7,Assumptions!$B$8)</f>
        <v>660</v>
      </c>
      <c r="G8" s="12" t="n">
        <f aca="false">INDEX(Assumptions!$B$12:$B$16,MATCH(B8,Assumptions!$A$12:$A$16,0))</f>
        <v>0.1</v>
      </c>
      <c r="H8" s="13" t="n">
        <f aca="false">(E8+F8)*G8</f>
        <v>696</v>
      </c>
      <c r="I8" s="11" t="n">
        <f aca="false">(E8+F8+H8)*Assumptions!$B$6</f>
        <v>1378.08</v>
      </c>
      <c r="J8" s="11" t="n">
        <f aca="false">E8*Assumptions!$B$4</f>
        <v>1890</v>
      </c>
      <c r="K8" s="11" t="n">
        <f aca="false">(E8+F8)*Assumptions!$B$5</f>
        <v>348</v>
      </c>
      <c r="L8" s="14" t="n">
        <f aca="false">CEILING(E8+F8+H8+I8+J8+K8,Assumptions!$B$9)</f>
        <v>11500</v>
      </c>
      <c r="M8" s="15"/>
      <c r="N8" s="15"/>
      <c r="O8" s="13" t="str">
        <f aca="false">IF(M8="","fill market price",IF(L8&lt;=M8*1.1,"OK","TOO HIGH"))</f>
        <v>fill market price</v>
      </c>
    </row>
    <row r="9" customFormat="false" ht="15" hidden="false" customHeight="false" outlineLevel="0" collapsed="false">
      <c r="A9" s="9" t="s">
        <v>48</v>
      </c>
      <c r="B9" s="9" t="s">
        <v>18</v>
      </c>
      <c r="C9" s="10" t="n">
        <v>5000</v>
      </c>
      <c r="D9" s="10" t="n">
        <v>80</v>
      </c>
      <c r="E9" s="11" t="n">
        <f aca="false">C9*Assumptions!$B$3</f>
        <v>5250</v>
      </c>
      <c r="F9" s="11" t="n">
        <f aca="false">MAX(D9*Assumptions!$B$7,Assumptions!$B$8)</f>
        <v>880</v>
      </c>
      <c r="G9" s="12" t="n">
        <f aca="false">INDEX(Assumptions!$B$12:$B$16,MATCH(B9,Assumptions!$A$12:$A$16,0))</f>
        <v>0.1</v>
      </c>
      <c r="H9" s="13" t="n">
        <f aca="false">(E9+F9)*G9</f>
        <v>613</v>
      </c>
      <c r="I9" s="11" t="n">
        <f aca="false">(E9+F9+H9)*Assumptions!$B$6</f>
        <v>1213.74</v>
      </c>
      <c r="J9" s="11" t="n">
        <f aca="false">E9*Assumptions!$B$4</f>
        <v>1575</v>
      </c>
      <c r="K9" s="11" t="n">
        <f aca="false">(E9+F9)*Assumptions!$B$5</f>
        <v>306.5</v>
      </c>
      <c r="L9" s="14" t="n">
        <f aca="false">CEILING(E9+F9+H9+I9+J9+K9,Assumptions!$B$9)</f>
        <v>10000</v>
      </c>
      <c r="M9" s="15"/>
      <c r="N9" s="15"/>
      <c r="O9" s="13" t="str">
        <f aca="false">IF(M9="","fill market price",IF(L9&lt;=M9*1.1,"OK","TOO HIGH"))</f>
        <v>fill market price</v>
      </c>
    </row>
    <row r="10" customFormat="false" ht="15" hidden="false" customHeight="false" outlineLevel="0" collapsed="false">
      <c r="A10" s="9" t="s">
        <v>49</v>
      </c>
      <c r="B10" s="9" t="s">
        <v>18</v>
      </c>
      <c r="C10" s="10" t="n">
        <v>7000</v>
      </c>
      <c r="D10" s="10" t="n">
        <v>60</v>
      </c>
      <c r="E10" s="11" t="n">
        <f aca="false">C10*Assumptions!$B$3</f>
        <v>7350</v>
      </c>
      <c r="F10" s="11" t="n">
        <f aca="false">MAX(D10*Assumptions!$B$7,Assumptions!$B$8)</f>
        <v>660</v>
      </c>
      <c r="G10" s="12" t="n">
        <f aca="false">INDEX(Assumptions!$B$12:$B$16,MATCH(B10,Assumptions!$A$12:$A$16,0))</f>
        <v>0.1</v>
      </c>
      <c r="H10" s="13" t="n">
        <f aca="false">(E10+F10)*G10</f>
        <v>801</v>
      </c>
      <c r="I10" s="11" t="n">
        <f aca="false">(E10+F10+H10)*Assumptions!$B$6</f>
        <v>1585.98</v>
      </c>
      <c r="J10" s="11" t="n">
        <f aca="false">E10*Assumptions!$B$4</f>
        <v>2205</v>
      </c>
      <c r="K10" s="11" t="n">
        <f aca="false">(E10+F10)*Assumptions!$B$5</f>
        <v>400.5</v>
      </c>
      <c r="L10" s="14" t="n">
        <f aca="false">CEILING(E10+F10+H10+I10+J10+K10,Assumptions!$B$9)</f>
        <v>13500</v>
      </c>
      <c r="M10" s="15"/>
      <c r="N10" s="15"/>
      <c r="O10" s="13" t="str">
        <f aca="false">IF(M10="","fill market price",IF(L10&lt;=M10*1.1,"OK","TOO HIGH"))</f>
        <v>fill market price</v>
      </c>
    </row>
    <row r="11" customFormat="false" ht="15" hidden="false" customHeight="false" outlineLevel="0" collapsed="false">
      <c r="A11" s="9" t="s">
        <v>50</v>
      </c>
      <c r="B11" s="9" t="s">
        <v>18</v>
      </c>
      <c r="C11" s="10" t="n">
        <v>15000</v>
      </c>
      <c r="D11" s="10" t="n">
        <v>100</v>
      </c>
      <c r="E11" s="11" t="n">
        <f aca="false">C11*Assumptions!$B$3</f>
        <v>15750</v>
      </c>
      <c r="F11" s="11" t="n">
        <f aca="false">MAX(D11*Assumptions!$B$7,Assumptions!$B$8)</f>
        <v>1100</v>
      </c>
      <c r="G11" s="12" t="n">
        <f aca="false">INDEX(Assumptions!$B$12:$B$16,MATCH(B11,Assumptions!$A$12:$A$16,0))</f>
        <v>0.1</v>
      </c>
      <c r="H11" s="13" t="n">
        <f aca="false">(E11+F11)*G11</f>
        <v>1685</v>
      </c>
      <c r="I11" s="11" t="n">
        <f aca="false">(E11+F11+H11)*Assumptions!$B$6</f>
        <v>3336.3</v>
      </c>
      <c r="J11" s="11" t="n">
        <f aca="false">E11*Assumptions!$B$4</f>
        <v>4725</v>
      </c>
      <c r="K11" s="11" t="n">
        <f aca="false">(E11+F11)*Assumptions!$B$5</f>
        <v>842.5</v>
      </c>
      <c r="L11" s="14" t="n">
        <f aca="false">CEILING(E11+F11+H11+I11+J11+K11,Assumptions!$B$9)</f>
        <v>27500</v>
      </c>
      <c r="M11" s="15"/>
      <c r="N11" s="15"/>
      <c r="O11" s="13" t="str">
        <f aca="false">IF(M11="","fill market price",IF(L11&lt;=M11*1.1,"OK","TOO HIGH"))</f>
        <v>fill market price</v>
      </c>
    </row>
    <row r="12" customFormat="false" ht="15" hidden="false" customHeight="false" outlineLevel="0" collapsed="false">
      <c r="A12" s="9" t="s">
        <v>51</v>
      </c>
      <c r="B12" s="9" t="s">
        <v>19</v>
      </c>
      <c r="C12" s="10" t="n">
        <v>8000</v>
      </c>
      <c r="D12" s="10" t="n">
        <v>30</v>
      </c>
      <c r="E12" s="11" t="n">
        <f aca="false">C12*Assumptions!$B$3</f>
        <v>8400</v>
      </c>
      <c r="F12" s="11" t="n">
        <f aca="false">MAX(D12*Assumptions!$B$7,Assumptions!$B$8)</f>
        <v>600</v>
      </c>
      <c r="G12" s="12" t="n">
        <f aca="false">INDEX(Assumptions!$B$12:$B$16,MATCH(B12,Assumptions!$A$12:$A$16,0))</f>
        <v>0.25</v>
      </c>
      <c r="H12" s="13" t="n">
        <f aca="false">(E12+F12)*G12</f>
        <v>2250</v>
      </c>
      <c r="I12" s="11" t="n">
        <f aca="false">(E12+F12+H12)*Assumptions!$B$6</f>
        <v>2025</v>
      </c>
      <c r="J12" s="11" t="n">
        <f aca="false">E12*Assumptions!$B$4</f>
        <v>2520</v>
      </c>
      <c r="K12" s="11" t="n">
        <f aca="false">(E12+F12)*Assumptions!$B$5</f>
        <v>450</v>
      </c>
      <c r="L12" s="14" t="n">
        <f aca="false">CEILING(E12+F12+H12+I12+J12+K12,Assumptions!$B$9)</f>
        <v>16500</v>
      </c>
      <c r="M12" s="15"/>
      <c r="N12" s="15"/>
      <c r="O12" s="13" t="str">
        <f aca="false">IF(M12="","fill market price",IF(L12&lt;=M12*1.1,"OK","TOO HIGH"))</f>
        <v>fill market price</v>
      </c>
    </row>
    <row r="13" customFormat="false" ht="15" hidden="false" customHeight="false" outlineLevel="0" collapsed="false">
      <c r="A13" s="9" t="s">
        <v>52</v>
      </c>
      <c r="B13" s="9" t="s">
        <v>19</v>
      </c>
      <c r="C13" s="10" t="n">
        <v>6000</v>
      </c>
      <c r="D13" s="10" t="n">
        <v>90</v>
      </c>
      <c r="E13" s="11" t="n">
        <f aca="false">C13*Assumptions!$B$3</f>
        <v>6300</v>
      </c>
      <c r="F13" s="11" t="n">
        <f aca="false">MAX(D13*Assumptions!$B$7,Assumptions!$B$8)</f>
        <v>990</v>
      </c>
      <c r="G13" s="12" t="n">
        <f aca="false">INDEX(Assumptions!$B$12:$B$16,MATCH(B13,Assumptions!$A$12:$A$16,0))</f>
        <v>0.25</v>
      </c>
      <c r="H13" s="13" t="n">
        <f aca="false">(E13+F13)*G13</f>
        <v>1822.5</v>
      </c>
      <c r="I13" s="11" t="n">
        <f aca="false">(E13+F13+H13)*Assumptions!$B$6</f>
        <v>1640.25</v>
      </c>
      <c r="J13" s="11" t="n">
        <f aca="false">E13*Assumptions!$B$4</f>
        <v>1890</v>
      </c>
      <c r="K13" s="11" t="n">
        <f aca="false">(E13+F13)*Assumptions!$B$5</f>
        <v>364.5</v>
      </c>
      <c r="L13" s="14" t="n">
        <f aca="false">CEILING(E13+F13+H13+I13+J13+K13,Assumptions!$B$9)</f>
        <v>13500</v>
      </c>
      <c r="M13" s="15"/>
      <c r="N13" s="15"/>
      <c r="O13" s="13" t="str">
        <f aca="false">IF(M13="","fill market price",IF(L13&lt;=M13*1.1,"OK","TOO HIGH"))</f>
        <v>fill market price</v>
      </c>
    </row>
    <row r="14" customFormat="false" ht="15" hidden="false" customHeight="false" outlineLevel="0" collapsed="false">
      <c r="A14" s="9" t="s">
        <v>53</v>
      </c>
      <c r="B14" s="9" t="s">
        <v>19</v>
      </c>
      <c r="C14" s="10" t="n">
        <v>7500</v>
      </c>
      <c r="D14" s="10" t="n">
        <v>150</v>
      </c>
      <c r="E14" s="11" t="n">
        <f aca="false">C14*Assumptions!$B$3</f>
        <v>7875</v>
      </c>
      <c r="F14" s="11" t="n">
        <f aca="false">MAX(D14*Assumptions!$B$7,Assumptions!$B$8)</f>
        <v>1650</v>
      </c>
      <c r="G14" s="12" t="n">
        <f aca="false">INDEX(Assumptions!$B$12:$B$16,MATCH(B14,Assumptions!$A$12:$A$16,0))</f>
        <v>0.25</v>
      </c>
      <c r="H14" s="13" t="n">
        <f aca="false">(E14+F14)*G14</f>
        <v>2381.25</v>
      </c>
      <c r="I14" s="11" t="n">
        <f aca="false">(E14+F14+H14)*Assumptions!$B$6</f>
        <v>2143.125</v>
      </c>
      <c r="J14" s="11" t="n">
        <f aca="false">E14*Assumptions!$B$4</f>
        <v>2362.5</v>
      </c>
      <c r="K14" s="11" t="n">
        <f aca="false">(E14+F14)*Assumptions!$B$5</f>
        <v>476.25</v>
      </c>
      <c r="L14" s="14" t="n">
        <f aca="false">CEILING(E14+F14+H14+I14+J14+K14,Assumptions!$B$9)</f>
        <v>17000</v>
      </c>
      <c r="M14" s="15"/>
      <c r="N14" s="15"/>
      <c r="O14" s="13" t="str">
        <f aca="false">IF(M14="","fill market price",IF(L14&lt;=M14*1.1,"OK","TOO HIGH"))</f>
        <v>fill market price</v>
      </c>
    </row>
    <row r="15" customFormat="false" ht="15" hidden="false" customHeight="false" outlineLevel="0" collapsed="false">
      <c r="A15" s="9" t="s">
        <v>54</v>
      </c>
      <c r="B15" s="9" t="s">
        <v>19</v>
      </c>
      <c r="C15" s="10" t="n">
        <v>12000</v>
      </c>
      <c r="D15" s="10" t="n">
        <v>120</v>
      </c>
      <c r="E15" s="11" t="n">
        <f aca="false">C15*Assumptions!$B$3</f>
        <v>12600</v>
      </c>
      <c r="F15" s="11" t="n">
        <f aca="false">MAX(D15*Assumptions!$B$7,Assumptions!$B$8)</f>
        <v>1320</v>
      </c>
      <c r="G15" s="12" t="n">
        <f aca="false">INDEX(Assumptions!$B$12:$B$16,MATCH(B15,Assumptions!$A$12:$A$16,0))</f>
        <v>0.25</v>
      </c>
      <c r="H15" s="13" t="n">
        <f aca="false">(E15+F15)*G15</f>
        <v>3480</v>
      </c>
      <c r="I15" s="11" t="n">
        <f aca="false">(E15+F15+H15)*Assumptions!$B$6</f>
        <v>3132</v>
      </c>
      <c r="J15" s="11" t="n">
        <f aca="false">E15*Assumptions!$B$4</f>
        <v>3780</v>
      </c>
      <c r="K15" s="11" t="n">
        <f aca="false">(E15+F15)*Assumptions!$B$5</f>
        <v>696</v>
      </c>
      <c r="L15" s="14" t="n">
        <f aca="false">CEILING(E15+F15+H15+I15+J15+K15,Assumptions!$B$9)</f>
        <v>25500</v>
      </c>
      <c r="M15" s="15"/>
      <c r="N15" s="15"/>
      <c r="O15" s="13" t="str">
        <f aca="false">IF(M15="","fill market price",IF(L15&lt;=M15*1.1,"OK","TOO HIGH"))</f>
        <v>fill market price</v>
      </c>
    </row>
    <row r="16" customFormat="false" ht="15" hidden="false" customHeight="false" outlineLevel="0" collapsed="false">
      <c r="A16" s="9" t="s">
        <v>55</v>
      </c>
      <c r="B16" s="9" t="s">
        <v>20</v>
      </c>
      <c r="C16" s="10" t="n">
        <v>8000</v>
      </c>
      <c r="D16" s="10" t="n">
        <v>10</v>
      </c>
      <c r="E16" s="11" t="n">
        <f aca="false">C16*Assumptions!$B$3</f>
        <v>8400</v>
      </c>
      <c r="F16" s="11" t="n">
        <f aca="false">MAX(D16*Assumptions!$B$7,Assumptions!$B$8)</f>
        <v>600</v>
      </c>
      <c r="G16" s="12" t="n">
        <f aca="false">INDEX(Assumptions!$B$12:$B$16,MATCH(B16,Assumptions!$A$12:$A$16,0))</f>
        <v>0.25</v>
      </c>
      <c r="H16" s="13" t="n">
        <f aca="false">(E16+F16)*G16</f>
        <v>2250</v>
      </c>
      <c r="I16" s="11" t="n">
        <f aca="false">(E16+F16+H16)*Assumptions!$B$6</f>
        <v>2025</v>
      </c>
      <c r="J16" s="11" t="n">
        <f aca="false">E16*Assumptions!$B$4</f>
        <v>2520</v>
      </c>
      <c r="K16" s="11" t="n">
        <f aca="false">(E16+F16)*Assumptions!$B$5</f>
        <v>450</v>
      </c>
      <c r="L16" s="14" t="n">
        <f aca="false">CEILING(E16+F16+H16+I16+J16+K16,Assumptions!$B$9)</f>
        <v>16500</v>
      </c>
      <c r="M16" s="15"/>
      <c r="N16" s="15"/>
      <c r="O16" s="13" t="str">
        <f aca="false">IF(M16="","fill market price",IF(L16&lt;=M16*1.1,"OK","TOO HIGH"))</f>
        <v>fill market price</v>
      </c>
    </row>
    <row r="17" customFormat="false" ht="15" hidden="false" customHeight="false" outlineLevel="0" collapsed="false">
      <c r="A17" s="9" t="s">
        <v>56</v>
      </c>
      <c r="B17" s="9" t="s">
        <v>20</v>
      </c>
      <c r="C17" s="10" t="n">
        <v>22000</v>
      </c>
      <c r="D17" s="10" t="n">
        <v>450</v>
      </c>
      <c r="E17" s="11" t="n">
        <f aca="false">C17*Assumptions!$B$3</f>
        <v>23100</v>
      </c>
      <c r="F17" s="11" t="n">
        <f aca="false">MAX(D17*Assumptions!$B$7,Assumptions!$B$8)</f>
        <v>4950</v>
      </c>
      <c r="G17" s="12" t="n">
        <f aca="false">INDEX(Assumptions!$B$12:$B$16,MATCH(B17,Assumptions!$A$12:$A$16,0))</f>
        <v>0.25</v>
      </c>
      <c r="H17" s="13" t="n">
        <f aca="false">(E17+F17)*G17</f>
        <v>7012.5</v>
      </c>
      <c r="I17" s="11" t="n">
        <f aca="false">(E17+F17+H17)*Assumptions!$B$6</f>
        <v>6311.25</v>
      </c>
      <c r="J17" s="11" t="n">
        <f aca="false">E17*Assumptions!$B$4</f>
        <v>6930</v>
      </c>
      <c r="K17" s="11" t="n">
        <f aca="false">(E17+F17)*Assumptions!$B$5</f>
        <v>1402.5</v>
      </c>
      <c r="L17" s="14" t="n">
        <f aca="false">CEILING(E17+F17+H17+I17+J17+K17,Assumptions!$B$9)</f>
        <v>50000</v>
      </c>
      <c r="M17" s="15"/>
      <c r="N17" s="15"/>
      <c r="O17" s="13" t="str">
        <f aca="false">IF(M17="","fill market price",IF(L17&lt;=M17*1.1,"OK","TOO HIGH"))</f>
        <v>fill market price</v>
      </c>
    </row>
    <row r="18" customFormat="false" ht="15" hidden="false" customHeight="false" outlineLevel="0" collapsed="false">
      <c r="A18" s="9" t="s">
        <v>57</v>
      </c>
      <c r="B18" s="9" t="s">
        <v>20</v>
      </c>
      <c r="C18" s="10" t="n">
        <v>12000</v>
      </c>
      <c r="D18" s="10" t="n">
        <v>250</v>
      </c>
      <c r="E18" s="11" t="n">
        <f aca="false">C18*Assumptions!$B$3</f>
        <v>12600</v>
      </c>
      <c r="F18" s="11" t="n">
        <f aca="false">MAX(D18*Assumptions!$B$7,Assumptions!$B$8)</f>
        <v>2750</v>
      </c>
      <c r="G18" s="12" t="n">
        <f aca="false">INDEX(Assumptions!$B$12:$B$16,MATCH(B18,Assumptions!$A$12:$A$16,0))</f>
        <v>0.25</v>
      </c>
      <c r="H18" s="13" t="n">
        <f aca="false">(E18+F18)*G18</f>
        <v>3837.5</v>
      </c>
      <c r="I18" s="11" t="n">
        <f aca="false">(E18+F18+H18)*Assumptions!$B$6</f>
        <v>3453.75</v>
      </c>
      <c r="J18" s="11" t="n">
        <f aca="false">E18*Assumptions!$B$4</f>
        <v>3780</v>
      </c>
      <c r="K18" s="11" t="n">
        <f aca="false">(E18+F18)*Assumptions!$B$5</f>
        <v>767.5</v>
      </c>
      <c r="L18" s="14" t="n">
        <f aca="false">CEILING(E18+F18+H18+I18+J18+K18,Assumptions!$B$9)</f>
        <v>27500</v>
      </c>
      <c r="M18" s="15"/>
      <c r="N18" s="15"/>
      <c r="O18" s="13" t="str">
        <f aca="false">IF(M18="","fill market price",IF(L18&lt;=M18*1.1,"OK","TOO HIGH"))</f>
        <v>fill market price</v>
      </c>
    </row>
    <row r="19" customFormat="false" ht="15" hidden="false" customHeight="false" outlineLevel="0" collapsed="false">
      <c r="A19" s="9" t="s">
        <v>58</v>
      </c>
      <c r="B19" s="9" t="s">
        <v>21</v>
      </c>
      <c r="C19" s="10" t="n">
        <v>8000</v>
      </c>
      <c r="D19" s="10" t="n">
        <v>120</v>
      </c>
      <c r="E19" s="11" t="n">
        <f aca="false">C19*Assumptions!$B$3</f>
        <v>8400</v>
      </c>
      <c r="F19" s="11" t="n">
        <f aca="false">MAX(D19*Assumptions!$B$7,Assumptions!$B$8)</f>
        <v>1320</v>
      </c>
      <c r="G19" s="12" t="n">
        <f aca="false">INDEX(Assumptions!$B$12:$B$16,MATCH(B19,Assumptions!$A$12:$A$16,0))</f>
        <v>0.25</v>
      </c>
      <c r="H19" s="13" t="n">
        <f aca="false">(E19+F19)*G19</f>
        <v>2430</v>
      </c>
      <c r="I19" s="11" t="n">
        <f aca="false">(E19+F19+H19)*Assumptions!$B$6</f>
        <v>2187</v>
      </c>
      <c r="J19" s="11" t="n">
        <f aca="false">E19*Assumptions!$B$4</f>
        <v>2520</v>
      </c>
      <c r="K19" s="11" t="n">
        <f aca="false">(E19+F19)*Assumptions!$B$5</f>
        <v>486</v>
      </c>
      <c r="L19" s="14" t="n">
        <f aca="false">CEILING(E19+F19+H19+I19+J19+K19,Assumptions!$B$9)</f>
        <v>17500</v>
      </c>
      <c r="M19" s="15"/>
      <c r="N19" s="15"/>
      <c r="O19" s="13" t="str">
        <f aca="false">IF(M19="","fill market price",IF(L19&lt;=M19*1.1,"OK","TOO HIGH"))</f>
        <v>fill market price</v>
      </c>
    </row>
    <row r="20" customFormat="false" ht="15" hidden="false" customHeight="false" outlineLevel="0" collapsed="false">
      <c r="A20" s="9" t="s">
        <v>59</v>
      </c>
      <c r="B20" s="9" t="s">
        <v>21</v>
      </c>
      <c r="C20" s="10" t="n">
        <v>6000</v>
      </c>
      <c r="D20" s="10" t="n">
        <v>60</v>
      </c>
      <c r="E20" s="11" t="n">
        <f aca="false">C20*Assumptions!$B$3</f>
        <v>6300</v>
      </c>
      <c r="F20" s="11" t="n">
        <f aca="false">MAX(D20*Assumptions!$B$7,Assumptions!$B$8)</f>
        <v>660</v>
      </c>
      <c r="G20" s="12" t="n">
        <f aca="false">INDEX(Assumptions!$B$12:$B$16,MATCH(B20,Assumptions!$A$12:$A$16,0))</f>
        <v>0.25</v>
      </c>
      <c r="H20" s="13" t="n">
        <f aca="false">(E20+F20)*G20</f>
        <v>1740</v>
      </c>
      <c r="I20" s="11" t="n">
        <f aca="false">(E20+F20+H20)*Assumptions!$B$6</f>
        <v>1566</v>
      </c>
      <c r="J20" s="11" t="n">
        <f aca="false">E20*Assumptions!$B$4</f>
        <v>1890</v>
      </c>
      <c r="K20" s="11" t="n">
        <f aca="false">(E20+F20)*Assumptions!$B$5</f>
        <v>348</v>
      </c>
      <c r="L20" s="14" t="n">
        <f aca="false">CEILING(E20+F20+H20+I20+J20+K20,Assumptions!$B$9)</f>
        <v>13000</v>
      </c>
      <c r="M20" s="15"/>
      <c r="N20" s="15"/>
      <c r="O20" s="13" t="str">
        <f aca="false">IF(M20="","fill market price",IF(L20&lt;=M20*1.1,"OK","TOO HIGH"))</f>
        <v>fill market price</v>
      </c>
    </row>
    <row r="21" customFormat="false" ht="15" hidden="false" customHeight="false" outlineLevel="0" collapsed="false">
      <c r="A21" s="9" t="s">
        <v>60</v>
      </c>
      <c r="B21" s="9" t="s">
        <v>21</v>
      </c>
      <c r="C21" s="10" t="n">
        <v>9500</v>
      </c>
      <c r="D21" s="10" t="n">
        <v>280</v>
      </c>
      <c r="E21" s="11" t="n">
        <f aca="false">C21*Assumptions!$B$3</f>
        <v>9975</v>
      </c>
      <c r="F21" s="11" t="n">
        <f aca="false">MAX(D21*Assumptions!$B$7,Assumptions!$B$8)</f>
        <v>3080</v>
      </c>
      <c r="G21" s="12" t="n">
        <f aca="false">INDEX(Assumptions!$B$12:$B$16,MATCH(B21,Assumptions!$A$12:$A$16,0))</f>
        <v>0.25</v>
      </c>
      <c r="H21" s="13" t="n">
        <f aca="false">(E21+F21)*G21</f>
        <v>3263.75</v>
      </c>
      <c r="I21" s="11" t="n">
        <f aca="false">(E21+F21+H21)*Assumptions!$B$6</f>
        <v>2937.375</v>
      </c>
      <c r="J21" s="11" t="n">
        <f aca="false">E21*Assumptions!$B$4</f>
        <v>2992.5</v>
      </c>
      <c r="K21" s="11" t="n">
        <f aca="false">(E21+F21)*Assumptions!$B$5</f>
        <v>652.75</v>
      </c>
      <c r="L21" s="14" t="n">
        <f aca="false">CEILING(E21+F21+H21+I21+J21+K21,Assumptions!$B$9)</f>
        <v>23000</v>
      </c>
      <c r="M21" s="15"/>
      <c r="N21" s="15"/>
      <c r="O21" s="13" t="str">
        <f aca="false">IF(M21="","fill market price",IF(L21&lt;=M21*1.1,"OK","TOO HIGH"))</f>
        <v>fill market price</v>
      </c>
    </row>
    <row r="23" customFormat="false" ht="15" hidden="false" customHeight="false" outlineLevel="0" collapsed="false">
      <c r="A23" s="2" t="s">
        <v>61</v>
      </c>
      <c r="E23" s="16" t="n">
        <f aca="false">SUM(E2:E21)</f>
        <v>213990</v>
      </c>
      <c r="F23" s="16" t="n">
        <f aca="false">SUM(F2:F21)</f>
        <v>32930</v>
      </c>
      <c r="H23" s="16" t="n">
        <f aca="false">SUM(H2:H21)</f>
        <v>56037.5</v>
      </c>
      <c r="I23" s="16" t="n">
        <f aca="false">SUM(I2:I21)</f>
        <v>54532.35</v>
      </c>
      <c r="J23" s="16" t="n">
        <f aca="false">SUM(J2:J21)</f>
        <v>64197</v>
      </c>
      <c r="K23" s="16" t="n">
        <f aca="false">SUM(K2:K21)</f>
        <v>12346</v>
      </c>
      <c r="L23" s="16" t="n">
        <f aca="false">SUM(L2:L21)</f>
        <v>440000</v>
      </c>
    </row>
    <row r="25" customFormat="false" ht="15" hidden="false" customHeight="false" outlineLevel="0" collapsed="false">
      <c r="A25" s="4" t="s">
        <v>62</v>
      </c>
    </row>
    <row r="26" customFormat="false" ht="15" hidden="false" customHeight="false" outlineLevel="0" collapsed="false">
      <c r="A26" s="4" t="s">
        <v>63</v>
      </c>
    </row>
    <row r="27" customFormat="false" ht="15" hidden="false" customHeight="false" outlineLevel="0" collapsed="false">
      <c r="A27" s="4" t="s">
        <v>64</v>
      </c>
    </row>
    <row r="28" customFormat="false" ht="15" hidden="false" customHeight="false" outlineLevel="0" collapsed="false">
      <c r="A28" s="4" t="s">
        <v>65</v>
      </c>
    </row>
    <row r="29" customFormat="false" ht="15" hidden="false" customHeight="false" outlineLevel="0" collapsed="false">
      <c r="A29" s="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2026-08-21T02:03:35Z</dcterms:created>
  <dc:creator>openpyxl</dc:creator>
  <dc:description/>
  <dc:language>en-US</dc:language>
  <cp:lastModifiedBy/>
  <dcterms:modified xsi:type="dcterms:W3CDTF">2026-08-21T02:03:35Z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